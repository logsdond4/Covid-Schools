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Logsdon\Documents\GitHub\Covid-Schools\"/>
    </mc:Choice>
  </mc:AlternateContent>
  <xr:revisionPtr revIDLastSave="0" documentId="8_{20280441-7CD0-4D9E-BFD5-CEF7154D5241}" xr6:coauthVersionLast="45" xr6:coauthVersionMax="45" xr10:uidLastSave="{00000000-0000-0000-0000-000000000000}"/>
  <bookViews>
    <workbookView xWindow="-108" yWindow="-108" windowWidth="23256" windowHeight="12576" xr2:uid="{1DD19DB7-0793-4A42-9E0D-5648E359D8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" i="1" l="1"/>
  <c r="M5" i="1"/>
  <c r="M6" i="1"/>
  <c r="M3" i="1"/>
  <c r="F4" i="1"/>
  <c r="F5" i="1"/>
  <c r="F6" i="1"/>
  <c r="F3" i="1"/>
  <c r="L4" i="1"/>
  <c r="L5" i="1"/>
  <c r="L6" i="1"/>
  <c r="L3" i="1"/>
  <c r="E4" i="1"/>
  <c r="E5" i="1"/>
  <c r="E6" i="1"/>
  <c r="E3" i="1"/>
</calcChain>
</file>

<file path=xl/sharedStrings.xml><?xml version="1.0" encoding="utf-8"?>
<sst xmlns="http://schemas.openxmlformats.org/spreadsheetml/2006/main" count="31" uniqueCount="13">
  <si>
    <t>Upper CI</t>
  </si>
  <si>
    <t>Lower CI</t>
  </si>
  <si>
    <t>School Type</t>
  </si>
  <si>
    <t>Suburban</t>
  </si>
  <si>
    <t>n</t>
  </si>
  <si>
    <t>Students</t>
  </si>
  <si>
    <t>Staff</t>
  </si>
  <si>
    <t>City/Urban</t>
  </si>
  <si>
    <t>Rural</t>
  </si>
  <si>
    <t>Town</t>
  </si>
  <si>
    <t>Rate (per 10,000)</t>
  </si>
  <si>
    <t>Graph LCI</t>
  </si>
  <si>
    <t>Graph UCI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</si>
</sst>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Sheet1!$A$9</c:f>
              <c:strCache>
                <c:ptCount val="1"/>
                <c:pt idx="0">
                  <c:v>Rural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(Sheet1!$F$5,Sheet1!$M$5)</c:f>
                <c:numCache>
                  <c:formatCode>General</c:formatCode>
                  <c:ptCount val="2"/>
                  <c:pt idx="0">
                    <c:v>1.1700000000000002</c:v>
                  </c:pt>
                  <c:pt idx="1">
                    <c:v>0.56000000000000005</c:v>
                  </c:pt>
                </c:numCache>
              </c:numRef>
            </c:plus>
            <c:minus>
              <c:numRef>
                <c:f>(Sheet1!$E$5,Sheet1!$L$5)</c:f>
                <c:numCache>
                  <c:formatCode>General</c:formatCode>
                  <c:ptCount val="2"/>
                  <c:pt idx="0">
                    <c:v>1.1399999999999999</c:v>
                  </c:pt>
                  <c:pt idx="1">
                    <c:v>0.51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Sheet1!$B$8:$C$8</c:f>
              <c:strCache>
                <c:ptCount val="2"/>
                <c:pt idx="0">
                  <c:v>Students</c:v>
                </c:pt>
                <c:pt idx="1">
                  <c:v>Staff</c:v>
                </c:pt>
              </c:strCache>
            </c:strRef>
          </c:cat>
          <c:val>
            <c:numRef>
              <c:f>Sheet1!$B$9:$C$9</c:f>
              <c:numCache>
                <c:formatCode>General</c:formatCode>
                <c:ptCount val="2"/>
                <c:pt idx="0">
                  <c:v>1.2</c:v>
                </c:pt>
                <c:pt idx="1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45-4D74-A38E-40309583BFF9}"/>
            </c:ext>
          </c:extLst>
        </c:ser>
        <c:ser>
          <c:idx val="1"/>
          <c:order val="1"/>
          <c:tx>
            <c:strRef>
              <c:f>Sheet1!$A$10</c:f>
              <c:strCache>
                <c:ptCount val="1"/>
                <c:pt idx="0">
                  <c:v>Suburban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(Sheet1!$F$4,Sheet1!$M$4)</c:f>
                <c:numCache>
                  <c:formatCode>General</c:formatCode>
                  <c:ptCount val="2"/>
                  <c:pt idx="0">
                    <c:v>0.44000000000000006</c:v>
                  </c:pt>
                  <c:pt idx="1">
                    <c:v>0.17000000000000004</c:v>
                  </c:pt>
                </c:numCache>
              </c:numRef>
            </c:plus>
            <c:minus>
              <c:numRef>
                <c:f>(Sheet1!$E$4,Sheet1!$L$4)</c:f>
                <c:numCache>
                  <c:formatCode>General</c:formatCode>
                  <c:ptCount val="2"/>
                  <c:pt idx="0">
                    <c:v>0.41000000000000003</c:v>
                  </c:pt>
                  <c:pt idx="1">
                    <c:v>0.16999999999999998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Sheet1!$B$8:$C$8</c:f>
              <c:strCache>
                <c:ptCount val="2"/>
                <c:pt idx="0">
                  <c:v>Students</c:v>
                </c:pt>
                <c:pt idx="1">
                  <c:v>Staff</c:v>
                </c:pt>
              </c:strCache>
            </c:strRef>
          </c:cat>
          <c:val>
            <c:numRef>
              <c:f>Sheet1!$B$10:$C$10</c:f>
              <c:numCache>
                <c:formatCode>General</c:formatCode>
                <c:ptCount val="2"/>
                <c:pt idx="0">
                  <c:v>0.9</c:v>
                </c:pt>
                <c:pt idx="1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45-4D74-A38E-40309583BFF9}"/>
            </c:ext>
          </c:extLst>
        </c:ser>
        <c:ser>
          <c:idx val="2"/>
          <c:order val="2"/>
          <c:tx>
            <c:strRef>
              <c:f>Sheet1!$A$11</c:f>
              <c:strCache>
                <c:ptCount val="1"/>
                <c:pt idx="0">
                  <c:v>Town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(Sheet1!$F$6,Sheet1!$M$6)</c:f>
                <c:numCache>
                  <c:formatCode>General</c:formatCode>
                  <c:ptCount val="2"/>
                  <c:pt idx="0">
                    <c:v>0.42000000000000004</c:v>
                  </c:pt>
                  <c:pt idx="1">
                    <c:v>1.52</c:v>
                  </c:pt>
                </c:numCache>
              </c:numRef>
            </c:plus>
            <c:minus>
              <c:numRef>
                <c:f>(Sheet1!$E$6,Sheet1!$L$6)</c:f>
                <c:numCache>
                  <c:formatCode>General</c:formatCode>
                  <c:ptCount val="2"/>
                  <c:pt idx="0">
                    <c:v>0.42</c:v>
                  </c:pt>
                  <c:pt idx="1">
                    <c:v>1.6199999999999999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Sheet1!$B$8:$C$8</c:f>
              <c:strCache>
                <c:ptCount val="2"/>
                <c:pt idx="0">
                  <c:v>Students</c:v>
                </c:pt>
                <c:pt idx="1">
                  <c:v>Staff</c:v>
                </c:pt>
              </c:strCache>
            </c:strRef>
          </c:cat>
          <c:val>
            <c:numRef>
              <c:f>Sheet1!$B$11:$C$11</c:f>
              <c:numCache>
                <c:formatCode>General</c:formatCode>
                <c:ptCount val="2"/>
                <c:pt idx="0">
                  <c:v>0.5</c:v>
                </c:pt>
                <c:pt idx="1">
                  <c:v>1.4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545-4D74-A38E-40309583BFF9}"/>
            </c:ext>
          </c:extLst>
        </c:ser>
        <c:ser>
          <c:idx val="3"/>
          <c:order val="3"/>
          <c:tx>
            <c:strRef>
              <c:f>Sheet1!$A$12</c:f>
              <c:strCache>
                <c:ptCount val="1"/>
                <c:pt idx="0">
                  <c:v>City/Urban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(Sheet1!$F$3,Sheet1!$M$3)</c:f>
                <c:numCache>
                  <c:formatCode>General</c:formatCode>
                  <c:ptCount val="2"/>
                  <c:pt idx="0">
                    <c:v>0.16</c:v>
                  </c:pt>
                  <c:pt idx="1">
                    <c:v>0.73</c:v>
                  </c:pt>
                </c:numCache>
              </c:numRef>
            </c:plus>
            <c:minus>
              <c:numRef>
                <c:f>(Sheet1!$E$3,Sheet1!$L$3)</c:f>
                <c:numCache>
                  <c:formatCode>General</c:formatCode>
                  <c:ptCount val="2"/>
                  <c:pt idx="0">
                    <c:v>9.0000000000000011E-2</c:v>
                  </c:pt>
                  <c:pt idx="1">
                    <c:v>0.78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Sheet1!$B$8:$C$8</c:f>
              <c:strCache>
                <c:ptCount val="2"/>
                <c:pt idx="0">
                  <c:v>Students</c:v>
                </c:pt>
                <c:pt idx="1">
                  <c:v>Staff</c:v>
                </c:pt>
              </c:strCache>
            </c:strRef>
          </c:cat>
          <c:val>
            <c:numRef>
              <c:f>Sheet1!$B$12:$C$12</c:f>
              <c:numCache>
                <c:formatCode>General</c:formatCode>
                <c:ptCount val="2"/>
                <c:pt idx="0">
                  <c:v>0.1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545-4D74-A38E-40309583BF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4220815"/>
        <c:axId val="1620670687"/>
      </c:barChart>
      <c:catAx>
        <c:axId val="1004220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0670687"/>
        <c:crosses val="autoZero"/>
        <c:auto val="1"/>
        <c:lblAlgn val="ctr"/>
        <c:lblOffset val="100"/>
        <c:noMultiLvlLbl val="0"/>
      </c:catAx>
      <c:valAx>
        <c:axId val="162067068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COVID-19 Infection Rate (per 10,000)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220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220980</xdr:colOff>
      <xdr:row>8</xdr:row>
      <xdr:rowOff>41910</xdr:rowOff>
    </xdr:from>
    <xdr:to>
      <xdr:col>10</xdr:col>
      <xdr:colOff>198120</xdr:colOff>
      <xdr:row>23</xdr:row>
      <xdr:rowOff>41910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46A1954-185F-4FCB-A58E-72621A774F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6733C-9433-4DDC-9261-A5C8B1E1B061}">
  <dimension ref="A1:N21"/>
  <sheetViews>
    <sheetView tabSelected="1" workbookViewId="0">
      <selection activeCell="M23" sqref="M23"/>
    </sheetView>
  </sheetViews>
  <sheetFormatPr defaultRowHeight="14.4" x14ac:dyDescent="0.3"/>
  <cols>
    <col min="1" max="1" width="10.77734375" bestFit="1" customWidth="1"/>
    <col min="2" max="2" width="16.44140625" customWidth="1"/>
    <col min="8" max="8" width="11.21875" bestFit="1" customWidth="1"/>
    <col min="9" max="9" width="15.5546875" customWidth="1"/>
  </cols>
  <sheetData>
    <row r="1" spans="1:14" x14ac:dyDescent="0.3">
      <c r="A1" s="2" t="s">
        <v>5</v>
      </c>
      <c r="B1" s="2"/>
      <c r="C1" s="2"/>
      <c r="D1" s="2"/>
      <c r="E1" s="2"/>
      <c r="F1" s="2"/>
      <c r="G1" s="2"/>
      <c r="H1" s="2" t="s">
        <v>6</v>
      </c>
      <c r="I1" s="2"/>
      <c r="J1" s="2"/>
      <c r="K1" s="2"/>
      <c r="L1" s="2"/>
      <c r="M1" s="2"/>
      <c r="N1" s="2"/>
    </row>
    <row r="2" spans="1:14" x14ac:dyDescent="0.3">
      <c r="A2" s="3" t="s">
        <v>2</v>
      </c>
      <c r="B2" s="3" t="s">
        <v>10</v>
      </c>
      <c r="C2" s="3" t="s">
        <v>1</v>
      </c>
      <c r="D2" s="3" t="s">
        <v>0</v>
      </c>
      <c r="E2" s="3" t="s">
        <v>11</v>
      </c>
      <c r="F2" s="3" t="s">
        <v>12</v>
      </c>
      <c r="G2" s="3" t="s">
        <v>4</v>
      </c>
      <c r="H2" s="3" t="s">
        <v>2</v>
      </c>
      <c r="I2" s="3" t="s">
        <v>10</v>
      </c>
      <c r="J2" s="3" t="s">
        <v>1</v>
      </c>
      <c r="K2" s="3" t="s">
        <v>0</v>
      </c>
      <c r="L2" s="3" t="s">
        <v>11</v>
      </c>
      <c r="M2" s="3" t="s">
        <v>12</v>
      </c>
      <c r="N2" s="3" t="s">
        <v>4</v>
      </c>
    </row>
    <row r="3" spans="1:14" x14ac:dyDescent="0.3">
      <c r="A3" s="1" t="s">
        <v>7</v>
      </c>
      <c r="B3" s="1">
        <v>0.1</v>
      </c>
      <c r="C3" s="1">
        <v>0.01</v>
      </c>
      <c r="D3" s="1">
        <v>0.26</v>
      </c>
      <c r="E3" s="1">
        <f>B3-C3</f>
        <v>9.0000000000000011E-2</v>
      </c>
      <c r="F3" s="1">
        <f>D3-B3</f>
        <v>0.16</v>
      </c>
      <c r="G3" s="1">
        <v>56</v>
      </c>
      <c r="H3" s="1" t="s">
        <v>7</v>
      </c>
      <c r="I3" s="1">
        <v>1</v>
      </c>
      <c r="J3" s="1">
        <v>0.22</v>
      </c>
      <c r="K3" s="1">
        <v>1.73</v>
      </c>
      <c r="L3" s="1">
        <f>I3-J3</f>
        <v>0.78</v>
      </c>
      <c r="M3" s="1">
        <f>K3-I3</f>
        <v>0.73</v>
      </c>
      <c r="N3" s="1">
        <v>65</v>
      </c>
    </row>
    <row r="4" spans="1:14" x14ac:dyDescent="0.3">
      <c r="A4" s="1" t="s">
        <v>3</v>
      </c>
      <c r="B4" s="1">
        <v>0.9</v>
      </c>
      <c r="C4" s="1">
        <v>0.49</v>
      </c>
      <c r="D4" s="1">
        <v>1.34</v>
      </c>
      <c r="E4" s="1">
        <f t="shared" ref="E4:E6" si="0">B4-C4</f>
        <v>0.41000000000000003</v>
      </c>
      <c r="F4" s="1">
        <f t="shared" ref="F4:F6" si="1">D4-B4</f>
        <v>0.44000000000000006</v>
      </c>
      <c r="G4" s="1">
        <v>160</v>
      </c>
      <c r="H4" s="1" t="s">
        <v>3</v>
      </c>
      <c r="I4" s="1">
        <v>0.5</v>
      </c>
      <c r="J4" s="1">
        <v>0.33</v>
      </c>
      <c r="K4" s="1">
        <v>0.67</v>
      </c>
      <c r="L4" s="1">
        <f t="shared" ref="L4:L6" si="2">I4-J4</f>
        <v>0.16999999999999998</v>
      </c>
      <c r="M4" s="1">
        <f t="shared" ref="M4:M6" si="3">K4-I4</f>
        <v>0.17000000000000004</v>
      </c>
      <c r="N4" s="1">
        <v>164</v>
      </c>
    </row>
    <row r="5" spans="1:14" x14ac:dyDescent="0.3">
      <c r="A5" s="1" t="s">
        <v>8</v>
      </c>
      <c r="B5" s="1">
        <v>1.2</v>
      </c>
      <c r="C5" s="1">
        <v>0.06</v>
      </c>
      <c r="D5" s="1">
        <v>2.37</v>
      </c>
      <c r="E5" s="1">
        <f t="shared" si="0"/>
        <v>1.1399999999999999</v>
      </c>
      <c r="F5" s="1">
        <f t="shared" si="1"/>
        <v>1.1700000000000002</v>
      </c>
      <c r="G5" s="1">
        <v>104</v>
      </c>
      <c r="H5" s="1" t="s">
        <v>8</v>
      </c>
      <c r="I5" s="1">
        <v>0.8</v>
      </c>
      <c r="J5" s="1">
        <v>0.28999999999999998</v>
      </c>
      <c r="K5" s="1">
        <v>1.36</v>
      </c>
      <c r="L5" s="1">
        <f t="shared" si="2"/>
        <v>0.51</v>
      </c>
      <c r="M5" s="1">
        <f t="shared" si="3"/>
        <v>0.56000000000000005</v>
      </c>
      <c r="N5" s="1">
        <v>108</v>
      </c>
    </row>
    <row r="6" spans="1:14" x14ac:dyDescent="0.3">
      <c r="A6" s="1" t="s">
        <v>9</v>
      </c>
      <c r="B6" s="1">
        <v>0.5</v>
      </c>
      <c r="C6" s="1">
        <v>0.08</v>
      </c>
      <c r="D6" s="1">
        <v>0.92</v>
      </c>
      <c r="E6" s="1">
        <f t="shared" si="0"/>
        <v>0.42</v>
      </c>
      <c r="F6" s="1">
        <f t="shared" si="1"/>
        <v>0.42000000000000004</v>
      </c>
      <c r="G6" s="1">
        <v>34</v>
      </c>
      <c r="H6" s="1" t="s">
        <v>9</v>
      </c>
      <c r="I6" s="1">
        <v>1.4</v>
      </c>
      <c r="J6" s="1">
        <v>-0.22</v>
      </c>
      <c r="K6" s="1">
        <v>2.92</v>
      </c>
      <c r="L6" s="1">
        <f t="shared" si="2"/>
        <v>1.6199999999999999</v>
      </c>
      <c r="M6" s="1">
        <f t="shared" si="3"/>
        <v>1.52</v>
      </c>
      <c r="N6" s="1">
        <v>41</v>
      </c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3" t="s">
        <v>2</v>
      </c>
      <c r="B8" s="1" t="s">
        <v>5</v>
      </c>
      <c r="C8" s="1" t="s">
        <v>6</v>
      </c>
      <c r="D8" s="4"/>
      <c r="E8" s="4"/>
      <c r="F8" s="4"/>
      <c r="G8" s="4"/>
      <c r="H8" s="4"/>
      <c r="I8" s="4"/>
      <c r="J8" s="4"/>
      <c r="K8" s="1"/>
      <c r="L8" s="1"/>
      <c r="M8" s="1"/>
      <c r="N8" s="1"/>
    </row>
    <row r="9" spans="1:14" x14ac:dyDescent="0.3">
      <c r="A9" s="1" t="s">
        <v>8</v>
      </c>
      <c r="B9" s="1">
        <v>1.2</v>
      </c>
      <c r="C9" s="1">
        <v>0.8</v>
      </c>
      <c r="D9" s="1"/>
      <c r="E9" s="1"/>
      <c r="F9" s="1"/>
      <c r="G9" s="1"/>
      <c r="H9" s="1"/>
      <c r="I9" s="1"/>
      <c r="J9" s="1"/>
      <c r="N9" s="1"/>
    </row>
    <row r="10" spans="1:14" x14ac:dyDescent="0.3">
      <c r="A10" s="1" t="s">
        <v>3</v>
      </c>
      <c r="B10" s="1">
        <v>0.9</v>
      </c>
      <c r="C10" s="1">
        <v>0.5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x14ac:dyDescent="0.3">
      <c r="A11" s="1" t="s">
        <v>9</v>
      </c>
      <c r="B11" s="1">
        <v>0.5</v>
      </c>
      <c r="C11" s="1">
        <v>1.4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x14ac:dyDescent="0.3">
      <c r="A12" s="1" t="s">
        <v>7</v>
      </c>
      <c r="B12" s="1">
        <v>0.1</v>
      </c>
      <c r="C12" s="1">
        <v>1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</sheetData>
  <sortState xmlns:xlrd2="http://schemas.microsoft.com/office/spreadsheetml/2017/richdata2" ref="A9:C12">
    <sortCondition descending="1" ref="B9:B12"/>
  </sortState>
  <mergeCells count="2">
    <mergeCell ref="A1:G1"/>
    <mergeCell ref="H1:N1"/>
  </mergeCells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Logsdon</dc:creator>
  <cp:lastModifiedBy>Dan Logsdon</cp:lastModifiedBy>
  <dcterms:created xsi:type="dcterms:W3CDTF">2020-10-10T22:38:06Z</dcterms:created>
  <dcterms:modified xsi:type="dcterms:W3CDTF">2020-10-11T22:25:33Z</dcterms:modified>
</cp:coreProperties>
</file>